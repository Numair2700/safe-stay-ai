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ba9\safe-stay-ai\artefacts\backlog\"/>
    </mc:Choice>
  </mc:AlternateContent>
  <xr:revisionPtr revIDLastSave="0" documentId="13_ncr:1_{0D778616-FCE0-4B1C-986C-C2CC6053762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roduct Backlog" sheetId="1" r:id="rId1"/>
    <sheet name="Sprint Plan" sheetId="2" r:id="rId2"/>
    <sheet name="Epic Summary" sheetId="3" r:id="rId3"/>
    <sheet name="Risk 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3" l="1"/>
  <c r="F6" i="3"/>
  <c r="F5" i="3"/>
  <c r="F4" i="3"/>
  <c r="F3" i="3"/>
</calcChain>
</file>

<file path=xl/sharedStrings.xml><?xml version="1.0" encoding="utf-8"?>
<sst xmlns="http://schemas.openxmlformats.org/spreadsheetml/2006/main" count="436" uniqueCount="213">
  <si>
    <t>SWE6011 Agile Programming · Assignment 2 · Numair Alsaleh (2529226)</t>
  </si>
  <si>
    <t>ID</t>
  </si>
  <si>
    <t>Type</t>
  </si>
  <si>
    <t>Epic</t>
  </si>
  <si>
    <t>Summary</t>
  </si>
  <si>
    <t>Priority</t>
  </si>
  <si>
    <t>Sprint</t>
  </si>
  <si>
    <t>Status</t>
  </si>
  <si>
    <t>Due Date</t>
  </si>
  <si>
    <t>SSAI-1</t>
  </si>
  <si>
    <t>EPIC</t>
  </si>
  <si>
    <t>—</t>
  </si>
  <si>
    <t>Authentication &amp; User Management</t>
  </si>
  <si>
    <t>Sprint 1</t>
  </si>
  <si>
    <t>To Do</t>
  </si>
  <si>
    <t>19</t>
  </si>
  <si>
    <t>1 Apr – 14 Apr</t>
  </si>
  <si>
    <t>SSAI-5</t>
  </si>
  <si>
    <t>STORY</t>
  </si>
  <si>
    <t>As a host, I want to register an account so that I can manage my properties</t>
  </si>
  <si>
    <t>High</t>
  </si>
  <si>
    <t>3</t>
  </si>
  <si>
    <t>6 Apr</t>
  </si>
  <si>
    <t>Can register with name/email/password; duplicate email rejected; host role auto-assigned; redirects to dashboard</t>
  </si>
  <si>
    <t>SSAI-6</t>
  </si>
  <si>
    <t>As a host, I want to log in so that I can access my dashboard</t>
  </si>
  <si>
    <t>2</t>
  </si>
  <si>
    <t>7 Apr</t>
  </si>
  <si>
    <t>Login with email/password; wrong credentials rejected; session persists; password hidden; error messages shown</t>
  </si>
  <si>
    <t>Medium</t>
  </si>
  <si>
    <t>SSAI-7</t>
  </si>
  <si>
    <t>As a guest, I want to access the portal so that I can get help about my stay</t>
  </si>
  <si>
    <t>8 Apr</t>
  </si>
  <si>
    <t>Access via property link; no login required; correct property shown; invalid link denied</t>
  </si>
  <si>
    <t>SSAI-8</t>
  </si>
  <si>
    <t>As an admin, I want to manage user roles so that access is controlled</t>
  </si>
  <si>
    <t>9 Apr</t>
  </si>
  <si>
    <t>T2</t>
  </si>
  <si>
    <t>TASK</t>
  </si>
  <si>
    <t>Set up local development environment (PHP, Composer, Node, MySQL)</t>
  </si>
  <si>
    <t>1</t>
  </si>
  <si>
    <t>1 Apr</t>
  </si>
  <si>
    <t>T3</t>
  </si>
  <si>
    <t>Set up Laravel 11 scaffold with React and Inertia.js</t>
  </si>
  <si>
    <t>2 Apr</t>
  </si>
  <si>
    <t>T4</t>
  </si>
  <si>
    <t>Configure GitHub Actions CI pipeline</t>
  </si>
  <si>
    <t>T5</t>
  </si>
  <si>
    <t>Create database migrations for all core models</t>
  </si>
  <si>
    <t>3 Apr</t>
  </si>
  <si>
    <t>T6</t>
  </si>
  <si>
    <t>Install and configure Zephyr in Jira for test management</t>
  </si>
  <si>
    <t>12 Apr</t>
  </si>
  <si>
    <t>SSAI-2</t>
  </si>
  <si>
    <t>Property &amp; Manual Management</t>
  </si>
  <si>
    <t>SSAI-9</t>
  </si>
  <si>
    <t>As a host, I want to create a property so that guests can be linked to it</t>
  </si>
  <si>
    <t>10 Apr</t>
  </si>
  <si>
    <t>Enter name/address; saved to DB; appears on dashboard; multiple properties allowed; validation on empty fields</t>
  </si>
  <si>
    <t>SSAI-10</t>
  </si>
  <si>
    <t>As a host, I want to upload a house manual so that the AI can use it to answer questions</t>
  </si>
  <si>
    <t>11 Apr</t>
  </si>
  <si>
    <t>Upload text manual; linked to property; replaceable; AI uses it; success message shown</t>
  </si>
  <si>
    <t>SSAI-11</t>
  </si>
  <si>
    <t>As a host, I want to edit my property details so that information stays accurate</t>
  </si>
  <si>
    <t>Edit name/address/desc; saved immediately; only owner can edit; validation on empty fields</t>
  </si>
  <si>
    <t>SSAI-12</t>
  </si>
  <si>
    <t>As a host, I want to view all my properties so that I can manage them from one place</t>
  </si>
  <si>
    <t>13 Apr</t>
  </si>
  <si>
    <t>List all properties on dashboard; click to view details; ordered by date; empty state shown</t>
  </si>
  <si>
    <t>Low</t>
  </si>
  <si>
    <t>T1</t>
  </si>
  <si>
    <t>Create application workflow diagrams (host and guest journeys)</t>
  </si>
  <si>
    <t>Done</t>
  </si>
  <si>
    <t>T7</t>
  </si>
  <si>
    <t>Create ER diagram for database design</t>
  </si>
  <si>
    <t>T8</t>
  </si>
  <si>
    <t>Design UI mockups for host dashboard and guest portal</t>
  </si>
  <si>
    <t>4 Apr</t>
  </si>
  <si>
    <t>SSAI-3</t>
  </si>
  <si>
    <t>AI Digital Concierge</t>
  </si>
  <si>
    <t>Sprint 2</t>
  </si>
  <si>
    <t>22</t>
  </si>
  <si>
    <t>15 Apr – 28 Apr</t>
  </si>
  <si>
    <t>SSAI-13</t>
  </si>
  <si>
    <t>As a guest, I want to ask a question about the property so that I get an instant answer</t>
  </si>
  <si>
    <t>18 Apr</t>
  </si>
  <si>
    <t>Type question; loading indicator shown; Q&amp;A appears in chat; empty input rejected</t>
  </si>
  <si>
    <t>SSAI-14</t>
  </si>
  <si>
    <t>As a guest, I want to receive a property-specific response so that the answer is relevant to my stay</t>
  </si>
  <si>
    <t>5</t>
  </si>
  <si>
    <t>19 Apr</t>
  </si>
  <si>
    <t>Response from manual only; fallback if not found; multiple questions allowed; response within reasonable time</t>
  </si>
  <si>
    <t>SSAI-15</t>
  </si>
  <si>
    <t>As a host, I want the AI to answer from my manual only so that guests receive accurate information</t>
  </si>
  <si>
    <t>20 Apr</t>
  </si>
  <si>
    <t>No general knowledge used; no hallucinations; fallback if no manual uploaded; host can test from dashboard</t>
  </si>
  <si>
    <t>SSAI-16</t>
  </si>
  <si>
    <t>As a host, I want to view the Q&amp;A log so that I can see what guests are asking</t>
  </si>
  <si>
    <t>21 Apr</t>
  </si>
  <si>
    <t>Log shows all Q&amp;A; filtered by property; newest first; host can review anytime</t>
  </si>
  <si>
    <t>T9</t>
  </si>
  <si>
    <t>Configure OpenAI or Groq API credentials and environment</t>
  </si>
  <si>
    <t>15 Apr</t>
  </si>
  <si>
    <t>T10</t>
  </si>
  <si>
    <t>Export Jira project report as PDF for zip folder</t>
  </si>
  <si>
    <t>23 Apr</t>
  </si>
  <si>
    <t>SSAI-4</t>
  </si>
  <si>
    <t>Maintenance &amp; Reporting</t>
  </si>
  <si>
    <t>Sprint 1–2</t>
  </si>
  <si>
    <t>18</t>
  </si>
  <si>
    <t>1 Apr – 28 Apr</t>
  </si>
  <si>
    <t>SSAI-17</t>
  </si>
  <si>
    <t>As a guest, I want to report a maintenance issue so that the host is notified</t>
  </si>
  <si>
    <t>Describe issue; submit with one click; confirmed; linked to property; empty report rejected</t>
  </si>
  <si>
    <t>SSAI-18</t>
  </si>
  <si>
    <t>As a host, I want to view open maintenance reports so that I can act on them</t>
  </si>
  <si>
    <t>List open reports; filter by property; newest first; click for details</t>
  </si>
  <si>
    <t>SSAI-19</t>
  </si>
  <si>
    <t>As a host, I want to mark an issue as resolved so that the guest knows it is fixed</t>
  </si>
  <si>
    <t>22 Apr</t>
  </si>
  <si>
    <t>Resolve button on report; status updates instantly; logged with timestamp; guest sees updated status</t>
  </si>
  <si>
    <t>SSAI-20</t>
  </si>
  <si>
    <t>As a host, I want to see issue history so that I can track past problems</t>
  </si>
  <si>
    <t>View resolved issues; filter by property; reopen option; ordered by most recently resolved</t>
  </si>
  <si>
    <t>T11</t>
  </si>
  <si>
    <t>Update risk log after Sprint 1 completion</t>
  </si>
  <si>
    <t>14 Apr</t>
  </si>
  <si>
    <t>Review all 5 risks; update probability/impact; document changes</t>
  </si>
  <si>
    <t>T12</t>
  </si>
  <si>
    <t>Update risk log after Sprint 2 completion</t>
  </si>
  <si>
    <t>25 Apr</t>
  </si>
  <si>
    <t>T13</t>
  </si>
  <si>
    <t>Prepare final zip folder with all artefacts and README</t>
  </si>
  <si>
    <t>24 Apr</t>
  </si>
  <si>
    <t>Safe-Stay AI — Sprint Plan</t>
  </si>
  <si>
    <t>Dates</t>
  </si>
  <si>
    <t>Goal</t>
  </si>
  <si>
    <t>Stories / Tasks</t>
  </si>
  <si>
    <t>Focus</t>
  </si>
  <si>
    <t>1 Apr – 14 Apr 2026</t>
  </si>
  <si>
    <t>Set up system foundation, implement authentication for all user roles, and enable hosts to create properties and upload house manuals</t>
  </si>
  <si>
    <t>Auth, Property &amp; Manual Management, Infrastructure</t>
  </si>
  <si>
    <t>In Progress</t>
  </si>
  <si>
    <t>15 Apr – 25 Apr 2026</t>
  </si>
  <si>
    <t>Deliver AI Digital Concierge, guest Q&amp;A, maintenance reporting, complete all testing evidence and submit</t>
  </si>
  <si>
    <t>SSAI-13,14,15,16 (AI) · SSAI-17,18,19,20 (Maintenance) · T9,T10,T12,T13 (Tasks)</t>
  </si>
  <si>
    <t>AI Concierge, Maintenance, Zephyr Testing, Report, Submission</t>
  </si>
  <si>
    <t>Planned</t>
  </si>
  <si>
    <t>Safe-Stay AI — Epic Summary</t>
  </si>
  <si>
    <t>Epic ID</t>
  </si>
  <si>
    <t>Epic Name</t>
  </si>
  <si>
    <t>Stories</t>
  </si>
  <si>
    <t>Tasks</t>
  </si>
  <si>
    <t>Story Points</t>
  </si>
  <si>
    <t>SSAI-5, SSAI-6, SSAI-7, SSAI-8</t>
  </si>
  <si>
    <t>T2 (Env), T3 (Scaffold), T4 (CI), T5 (Migrations), T6 (Zephyr)</t>
  </si>
  <si>
    <t>SSAI-9, SSAI-10, SSAI-11, SSAI-12</t>
  </si>
  <si>
    <t>T1 (Workflow), T7 (ER Diagram), T8 (UI Mockups)</t>
  </si>
  <si>
    <t>SSAI-13, SSAI-14, SSAI-15, SSAI-16</t>
  </si>
  <si>
    <t>T9 (API Config), T10 (Jira Export)</t>
  </si>
  <si>
    <t>SSAI-17, SSAI-18, SSAI-19, SSAI-20</t>
  </si>
  <si>
    <t>T11 (Risk S1), T12 (Risk S2), T13 (Zip Folder)</t>
  </si>
  <si>
    <t>Total Story Points</t>
  </si>
  <si>
    <t>Safe-Stay AI — RMMM Risk Log</t>
  </si>
  <si>
    <t>#</t>
  </si>
  <si>
    <t>Risk Description</t>
  </si>
  <si>
    <t>Probability</t>
  </si>
  <si>
    <t>Impact</t>
  </si>
  <si>
    <t>Mitigation Strategy</t>
  </si>
  <si>
    <t>R1</t>
  </si>
  <si>
    <t>AI hallucinations — model returns inaccurate property-specific answers</t>
  </si>
  <si>
    <t>Technical</t>
  </si>
  <si>
    <t>Critical</t>
  </si>
  <si>
    <t>Prompt engineering to constrain responses to manual content only; fallback message if answer not found; tested every sprint</t>
  </si>
  <si>
    <t>Open</t>
  </si>
  <si>
    <t>R2</t>
  </si>
  <si>
    <t>Time constraint — 25-day delivery window with no prior code written</t>
  </si>
  <si>
    <t>Schedule</t>
  </si>
  <si>
    <t>Strict MVP scope; 2-sprint plan; daily progress tracking; no scope creep permitted</t>
  </si>
  <si>
    <t>R3</t>
  </si>
  <si>
    <t>OpenAI API cost or rate limits during development</t>
  </si>
  <si>
    <t>Use Groq free tier during development; mock API responses in PHPUnit tests; switch to real API for demo only</t>
  </si>
  <si>
    <t>R4</t>
  </si>
  <si>
    <t>Laravel/React/Inertia integration issues causing delays</t>
  </si>
  <si>
    <t>TDD catches integration errors early; GitHub Actions CI runs full test suite on every commit</t>
  </si>
  <si>
    <t>R5</t>
  </si>
  <si>
    <t>Loss of artefact evidence (screenshots, Jira data)</t>
  </si>
  <si>
    <t>Project</t>
  </si>
  <si>
    <t>All screenshots committed to GitHub artefacts folder immediately after capture; never rely on Jira alone</t>
  </si>
  <si>
    <t>Sprint 1 Risk Review (14 April 2026) — [Complete at end of Sprint 1]</t>
  </si>
  <si>
    <t>Sprint 2 Risk Review (25 April 2026) — [Complete at end of Sprint 2]</t>
  </si>
  <si>
    <t xml:space="preserve">SSAI-5,6,7,8 (Auth) · SSAI-9,10,11,12 (Property) · T1-T8, T11 (Tasks) </t>
  </si>
  <si>
    <r>
      <t xml:space="preserve">Authentication &amp; User Management - </t>
    </r>
    <r>
      <rPr>
        <sz val="9"/>
        <color rgb="FF000000"/>
        <rFont val="Arial"/>
        <family val="2"/>
      </rPr>
      <t>Covers all registration, login, role management and guest portal access</t>
    </r>
  </si>
  <si>
    <r>
      <t xml:space="preserve">Property &amp; Manual Management - </t>
    </r>
    <r>
      <rPr>
        <sz val="9"/>
        <color rgb="FF000000"/>
        <rFont val="Arial"/>
        <family val="2"/>
      </rPr>
      <t>Covers property creation, editing, viewing, and house manual upload</t>
    </r>
  </si>
  <si>
    <r>
      <t xml:space="preserve">AI Digital Concierge - </t>
    </r>
    <r>
      <rPr>
        <sz val="9"/>
        <color rgb="FF000000"/>
        <rFont val="Arial"/>
        <family val="2"/>
      </rPr>
      <t>Covers AI Q&amp;A, prompt engineering, hallucination mitigation, Q&amp;A log</t>
    </r>
  </si>
  <si>
    <r>
      <t xml:space="preserve">Maintenance &amp; Reporting - </t>
    </r>
    <r>
      <rPr>
        <sz val="9"/>
        <color rgb="FF000000"/>
        <rFont val="Arial"/>
        <family val="2"/>
      </rPr>
      <t>Covers maintenance issue reporting, host resolution, history, and risk log updates</t>
    </r>
  </si>
  <si>
    <t>Laravel, MySQL, Node running locally; .env configured</t>
  </si>
  <si>
    <t>Laravel installed; Inertia + React configured; Vite running</t>
  </si>
  <si>
    <t>CI runs PHPUnit on every push to main branch</t>
  </si>
  <si>
    <t>Migrations for users, properties, manuals, maintenance_issues</t>
  </si>
  <si>
    <t>Zephyr add-on installed; test project configured</t>
  </si>
  <si>
    <t>HTML/SVG diagrams created; saved to artefacts/workflow-diagrams/</t>
  </si>
  <si>
    <t>ER diagram showing all tables and relationships; saved to artefacts/er-diagram/</t>
  </si>
  <si>
    <t>Wireframes for key screens; saved to artefacts/ui-mockups/</t>
  </si>
  <si>
    <t xml:space="preserve">Acceptance Criteria (Stories)/ Notes (Tasks) </t>
  </si>
  <si>
    <t>API key in .env; service class scaffolded; connection tested</t>
  </si>
  <si>
    <t>Export from Jira; saved to artefacts/ folder</t>
  </si>
  <si>
    <t>Zip contains code, README, all artefact folders</t>
  </si>
  <si>
    <t>Final review of all 5 risks; document final status</t>
  </si>
  <si>
    <t xml:space="preserve">Safe-Stay AI - Product Backlog </t>
  </si>
  <si>
    <t>View all users; change roles; changes instant; actions logged</t>
  </si>
  <si>
    <t>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</si>
</sst>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9"/>
      <color rgb="FF7F77DD"/>
      <name val="Arial"/>
    </font>
    <font>
      <sz val="9"/>
      <color rgb="FF000000"/>
      <name val="Arial"/>
    </font>
    <font>
      <sz val="9"/>
      <color rgb="FF1D9E75"/>
      <name val="Arial"/>
    </font>
    <font>
      <sz val="9"/>
      <color rgb="FF888780"/>
      <name val="Arial"/>
    </font>
    <font>
      <b/>
      <sz val="9"/>
      <name val="Arial"/>
    </font>
    <font>
      <sz val="9"/>
      <name val="Arial"/>
    </font>
    <font>
      <b/>
      <sz val="9"/>
      <color rgb="FF856404"/>
      <name val="Arial"/>
    </font>
    <font>
      <sz val="9"/>
      <name val="Arial"/>
      <family val="2"/>
    </font>
    <font>
      <sz val="9"/>
      <color theme="4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D5E8D4"/>
      </patternFill>
    </fill>
    <fill>
      <patternFill patternType="solid">
        <fgColor rgb="FFF1EFE8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F8CECC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1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85" zoomScaleNormal="85" workbookViewId="0">
      <pane ySplit="3" topLeftCell="A7" activePane="bottomLeft" state="frozen"/>
      <selection pane="bottomLeft" activeCell="L9" sqref="L9"/>
    </sheetView>
  </sheetViews>
  <sheetFormatPr defaultRowHeight="14.5" x14ac:dyDescent="0.35"/>
  <cols>
    <col min="1" max="1" width="9" customWidth="1"/>
    <col min="2" max="2" width="10" customWidth="1"/>
    <col min="3" max="3" width="28" customWidth="1"/>
    <col min="4" max="4" width="41.1796875" customWidth="1"/>
    <col min="5" max="7" width="10" customWidth="1"/>
    <col min="8" max="8" width="15.453125" customWidth="1"/>
    <col min="9" max="9" width="13" customWidth="1"/>
    <col min="10" max="10" width="45" customWidth="1"/>
  </cols>
  <sheetData>
    <row r="1" spans="1:10" ht="26" customHeight="1" x14ac:dyDescent="0.35">
      <c r="A1" s="71" t="s">
        <v>210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6" customHeight="1" x14ac:dyDescent="0.35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2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154</v>
      </c>
      <c r="I3" s="1" t="s">
        <v>8</v>
      </c>
      <c r="J3" s="64" t="s">
        <v>205</v>
      </c>
    </row>
    <row r="4" spans="1:10" ht="40" customHeight="1" x14ac:dyDescent="0.35">
      <c r="A4" s="2" t="s">
        <v>9</v>
      </c>
      <c r="B4" s="3" t="s">
        <v>10</v>
      </c>
      <c r="C4" s="4" t="s">
        <v>11</v>
      </c>
      <c r="D4" s="60" t="s">
        <v>193</v>
      </c>
      <c r="E4" s="2" t="s">
        <v>11</v>
      </c>
      <c r="F4" s="2" t="s">
        <v>13</v>
      </c>
      <c r="G4" s="67" t="s">
        <v>143</v>
      </c>
      <c r="H4" s="2" t="s">
        <v>15</v>
      </c>
      <c r="I4" s="2" t="s">
        <v>16</v>
      </c>
      <c r="J4" s="7"/>
    </row>
    <row r="5" spans="1:10" ht="46.5" customHeight="1" x14ac:dyDescent="0.35">
      <c r="A5" s="5" t="s">
        <v>17</v>
      </c>
      <c r="B5" s="6" t="s">
        <v>18</v>
      </c>
      <c r="C5" s="7" t="s">
        <v>12</v>
      </c>
      <c r="D5" s="7" t="s">
        <v>19</v>
      </c>
      <c r="E5" s="5" t="s">
        <v>20</v>
      </c>
      <c r="F5" s="5" t="s">
        <v>13</v>
      </c>
      <c r="G5" s="5" t="s">
        <v>73</v>
      </c>
      <c r="H5" s="5" t="s">
        <v>21</v>
      </c>
      <c r="I5" s="5" t="s">
        <v>22</v>
      </c>
      <c r="J5" s="7" t="s">
        <v>23</v>
      </c>
    </row>
    <row r="6" spans="1:10" ht="40" customHeight="1" x14ac:dyDescent="0.35">
      <c r="A6" s="5" t="s">
        <v>24</v>
      </c>
      <c r="B6" s="6" t="s">
        <v>18</v>
      </c>
      <c r="C6" s="7" t="s">
        <v>12</v>
      </c>
      <c r="D6" s="7" t="s">
        <v>25</v>
      </c>
      <c r="E6" s="5" t="s">
        <v>20</v>
      </c>
      <c r="F6" s="5" t="s">
        <v>13</v>
      </c>
      <c r="G6" s="5" t="s">
        <v>73</v>
      </c>
      <c r="H6" s="5" t="s">
        <v>26</v>
      </c>
      <c r="I6" s="5" t="s">
        <v>27</v>
      </c>
      <c r="J6" s="7" t="s">
        <v>28</v>
      </c>
    </row>
    <row r="7" spans="1:10" ht="40" customHeight="1" x14ac:dyDescent="0.35">
      <c r="A7" s="5" t="s">
        <v>30</v>
      </c>
      <c r="B7" s="6" t="s">
        <v>18</v>
      </c>
      <c r="C7" s="7" t="s">
        <v>12</v>
      </c>
      <c r="D7" s="7" t="s">
        <v>31</v>
      </c>
      <c r="E7" s="5" t="s">
        <v>20</v>
      </c>
      <c r="F7" s="5" t="s">
        <v>13</v>
      </c>
      <c r="G7" s="5" t="s">
        <v>14</v>
      </c>
      <c r="H7" s="5" t="s">
        <v>26</v>
      </c>
      <c r="I7" s="5" t="s">
        <v>32</v>
      </c>
      <c r="J7" s="7" t="s">
        <v>33</v>
      </c>
    </row>
    <row r="8" spans="1:10" ht="45.5" customHeight="1" x14ac:dyDescent="0.35">
      <c r="A8" s="5" t="s">
        <v>34</v>
      </c>
      <c r="B8" s="6" t="s">
        <v>18</v>
      </c>
      <c r="C8" s="7" t="s">
        <v>12</v>
      </c>
      <c r="D8" s="7" t="s">
        <v>35</v>
      </c>
      <c r="E8" s="5" t="s">
        <v>29</v>
      </c>
      <c r="F8" s="5" t="s">
        <v>13</v>
      </c>
      <c r="G8" s="5" t="s">
        <v>14</v>
      </c>
      <c r="H8" s="5" t="s">
        <v>26</v>
      </c>
      <c r="I8" s="5" t="s">
        <v>36</v>
      </c>
      <c r="J8" s="7" t="s">
        <v>211</v>
      </c>
    </row>
    <row r="9" spans="1:10" ht="40" customHeight="1" x14ac:dyDescent="0.35">
      <c r="A9" s="8" t="s">
        <v>37</v>
      </c>
      <c r="B9" s="9" t="s">
        <v>38</v>
      </c>
      <c r="C9" s="10" t="s">
        <v>12</v>
      </c>
      <c r="D9" s="10" t="s">
        <v>39</v>
      </c>
      <c r="E9" s="8" t="s">
        <v>20</v>
      </c>
      <c r="F9" s="8" t="s">
        <v>13</v>
      </c>
      <c r="G9" s="66" t="s">
        <v>73</v>
      </c>
      <c r="H9" s="8" t="s">
        <v>40</v>
      </c>
      <c r="I9" s="8" t="s">
        <v>41</v>
      </c>
      <c r="J9" s="65" t="s">
        <v>197</v>
      </c>
    </row>
    <row r="10" spans="1:10" ht="40" customHeight="1" x14ac:dyDescent="0.35">
      <c r="A10" s="8" t="s">
        <v>42</v>
      </c>
      <c r="B10" s="9" t="s">
        <v>38</v>
      </c>
      <c r="C10" s="10" t="s">
        <v>12</v>
      </c>
      <c r="D10" s="10" t="s">
        <v>43</v>
      </c>
      <c r="E10" s="8" t="s">
        <v>20</v>
      </c>
      <c r="F10" s="8" t="s">
        <v>13</v>
      </c>
      <c r="G10" s="8" t="s">
        <v>14</v>
      </c>
      <c r="H10" s="8" t="s">
        <v>26</v>
      </c>
      <c r="I10" s="8" t="s">
        <v>44</v>
      </c>
      <c r="J10" s="65" t="s">
        <v>198</v>
      </c>
    </row>
    <row r="11" spans="1:10" ht="40" customHeight="1" x14ac:dyDescent="0.35">
      <c r="A11" s="8" t="s">
        <v>45</v>
      </c>
      <c r="B11" s="9" t="s">
        <v>38</v>
      </c>
      <c r="C11" s="10" t="s">
        <v>12</v>
      </c>
      <c r="D11" s="10" t="s">
        <v>46</v>
      </c>
      <c r="E11" s="8" t="s">
        <v>20</v>
      </c>
      <c r="F11" s="8" t="s">
        <v>13</v>
      </c>
      <c r="G11" s="8" t="s">
        <v>14</v>
      </c>
      <c r="H11" s="8" t="s">
        <v>40</v>
      </c>
      <c r="I11" s="8" t="s">
        <v>44</v>
      </c>
      <c r="J11" s="65" t="s">
        <v>199</v>
      </c>
    </row>
    <row r="12" spans="1:10" ht="40" customHeight="1" x14ac:dyDescent="0.35">
      <c r="A12" s="8" t="s">
        <v>47</v>
      </c>
      <c r="B12" s="9" t="s">
        <v>38</v>
      </c>
      <c r="C12" s="10" t="s">
        <v>12</v>
      </c>
      <c r="D12" s="10" t="s">
        <v>48</v>
      </c>
      <c r="E12" s="8" t="s">
        <v>20</v>
      </c>
      <c r="F12" s="8" t="s">
        <v>13</v>
      </c>
      <c r="G12" s="8" t="s">
        <v>14</v>
      </c>
      <c r="H12" s="8" t="s">
        <v>26</v>
      </c>
      <c r="I12" s="8" t="s">
        <v>49</v>
      </c>
      <c r="J12" s="65" t="s">
        <v>200</v>
      </c>
    </row>
    <row r="13" spans="1:10" ht="40" customHeight="1" x14ac:dyDescent="0.35">
      <c r="A13" s="8" t="s">
        <v>50</v>
      </c>
      <c r="B13" s="9" t="s">
        <v>38</v>
      </c>
      <c r="C13" s="10" t="s">
        <v>12</v>
      </c>
      <c r="D13" s="10" t="s">
        <v>51</v>
      </c>
      <c r="E13" s="8" t="s">
        <v>29</v>
      </c>
      <c r="F13" s="8" t="s">
        <v>13</v>
      </c>
      <c r="G13" s="8" t="s">
        <v>14</v>
      </c>
      <c r="H13" s="8" t="s">
        <v>40</v>
      </c>
      <c r="I13" s="8" t="s">
        <v>52</v>
      </c>
      <c r="J13" s="65" t="s">
        <v>201</v>
      </c>
    </row>
    <row r="14" spans="1:10" ht="40" customHeight="1" x14ac:dyDescent="0.35">
      <c r="A14" s="11" t="s">
        <v>53</v>
      </c>
      <c r="B14" s="12" t="s">
        <v>10</v>
      </c>
      <c r="C14" s="13" t="s">
        <v>11</v>
      </c>
      <c r="D14" s="61" t="s">
        <v>194</v>
      </c>
      <c r="E14" s="11" t="s">
        <v>11</v>
      </c>
      <c r="F14" s="11" t="s">
        <v>13</v>
      </c>
      <c r="G14" s="68" t="s">
        <v>143</v>
      </c>
      <c r="H14" s="11" t="s">
        <v>15</v>
      </c>
      <c r="I14" s="11" t="s">
        <v>16</v>
      </c>
      <c r="J14" s="16"/>
    </row>
    <row r="15" spans="1:10" ht="40" customHeight="1" x14ac:dyDescent="0.35">
      <c r="A15" s="14" t="s">
        <v>55</v>
      </c>
      <c r="B15" s="15" t="s">
        <v>18</v>
      </c>
      <c r="C15" s="16" t="s">
        <v>54</v>
      </c>
      <c r="D15" s="16" t="s">
        <v>56</v>
      </c>
      <c r="E15" s="14" t="s">
        <v>20</v>
      </c>
      <c r="F15" s="14" t="s">
        <v>13</v>
      </c>
      <c r="G15" s="14" t="s">
        <v>14</v>
      </c>
      <c r="H15" s="14" t="s">
        <v>21</v>
      </c>
      <c r="I15" s="14" t="s">
        <v>57</v>
      </c>
      <c r="J15" s="16" t="s">
        <v>58</v>
      </c>
    </row>
    <row r="16" spans="1:10" ht="40" customHeight="1" x14ac:dyDescent="0.35">
      <c r="A16" s="14" t="s">
        <v>59</v>
      </c>
      <c r="B16" s="15" t="s">
        <v>18</v>
      </c>
      <c r="C16" s="16" t="s">
        <v>54</v>
      </c>
      <c r="D16" s="16" t="s">
        <v>60</v>
      </c>
      <c r="E16" s="14" t="s">
        <v>20</v>
      </c>
      <c r="F16" s="14" t="s">
        <v>13</v>
      </c>
      <c r="G16" s="14" t="s">
        <v>14</v>
      </c>
      <c r="H16" s="14" t="s">
        <v>21</v>
      </c>
      <c r="I16" s="14" t="s">
        <v>61</v>
      </c>
      <c r="J16" s="16" t="s">
        <v>62</v>
      </c>
    </row>
    <row r="17" spans="1:10" ht="40" customHeight="1" x14ac:dyDescent="0.35">
      <c r="A17" s="14" t="s">
        <v>63</v>
      </c>
      <c r="B17" s="15" t="s">
        <v>18</v>
      </c>
      <c r="C17" s="16" t="s">
        <v>54</v>
      </c>
      <c r="D17" s="16" t="s">
        <v>64</v>
      </c>
      <c r="E17" s="14" t="s">
        <v>29</v>
      </c>
      <c r="F17" s="14" t="s">
        <v>13</v>
      </c>
      <c r="G17" s="14" t="s">
        <v>14</v>
      </c>
      <c r="H17" s="14" t="s">
        <v>26</v>
      </c>
      <c r="I17" s="14" t="s">
        <v>52</v>
      </c>
      <c r="J17" s="16" t="s">
        <v>65</v>
      </c>
    </row>
    <row r="18" spans="1:10" ht="40" customHeight="1" x14ac:dyDescent="0.35">
      <c r="A18" s="14" t="s">
        <v>66</v>
      </c>
      <c r="B18" s="15" t="s">
        <v>18</v>
      </c>
      <c r="C18" s="16" t="s">
        <v>54</v>
      </c>
      <c r="D18" s="16" t="s">
        <v>67</v>
      </c>
      <c r="E18" s="14" t="s">
        <v>29</v>
      </c>
      <c r="F18" s="14" t="s">
        <v>13</v>
      </c>
      <c r="G18" s="14" t="s">
        <v>14</v>
      </c>
      <c r="H18" s="14" t="s">
        <v>26</v>
      </c>
      <c r="I18" s="14" t="s">
        <v>68</v>
      </c>
      <c r="J18" s="16" t="s">
        <v>69</v>
      </c>
    </row>
    <row r="19" spans="1:10" ht="40" customHeight="1" x14ac:dyDescent="0.35">
      <c r="A19" s="8" t="s">
        <v>71</v>
      </c>
      <c r="B19" s="9" t="s">
        <v>38</v>
      </c>
      <c r="C19" s="10" t="s">
        <v>54</v>
      </c>
      <c r="D19" s="10" t="s">
        <v>72</v>
      </c>
      <c r="E19" s="8" t="s">
        <v>20</v>
      </c>
      <c r="F19" s="8" t="s">
        <v>13</v>
      </c>
      <c r="G19" s="8" t="s">
        <v>73</v>
      </c>
      <c r="H19" s="8" t="s">
        <v>40</v>
      </c>
      <c r="I19" s="8" t="s">
        <v>41</v>
      </c>
      <c r="J19" s="65" t="s">
        <v>202</v>
      </c>
    </row>
    <row r="20" spans="1:10" ht="40" customHeight="1" x14ac:dyDescent="0.35">
      <c r="A20" s="8" t="s">
        <v>74</v>
      </c>
      <c r="B20" s="9" t="s">
        <v>38</v>
      </c>
      <c r="C20" s="10" t="s">
        <v>54</v>
      </c>
      <c r="D20" s="10" t="s">
        <v>75</v>
      </c>
      <c r="E20" s="8" t="s">
        <v>20</v>
      </c>
      <c r="F20" s="8" t="s">
        <v>13</v>
      </c>
      <c r="G20" s="8" t="s">
        <v>14</v>
      </c>
      <c r="H20" s="8" t="s">
        <v>26</v>
      </c>
      <c r="I20" s="8" t="s">
        <v>49</v>
      </c>
      <c r="J20" s="65" t="s">
        <v>203</v>
      </c>
    </row>
    <row r="21" spans="1:10" ht="40" customHeight="1" x14ac:dyDescent="0.35">
      <c r="A21" s="8" t="s">
        <v>76</v>
      </c>
      <c r="B21" s="9" t="s">
        <v>38</v>
      </c>
      <c r="C21" s="10" t="s">
        <v>54</v>
      </c>
      <c r="D21" s="10" t="s">
        <v>77</v>
      </c>
      <c r="E21" s="8" t="s">
        <v>20</v>
      </c>
      <c r="F21" s="8" t="s">
        <v>13</v>
      </c>
      <c r="G21" s="8" t="s">
        <v>14</v>
      </c>
      <c r="H21" s="8" t="s">
        <v>26</v>
      </c>
      <c r="I21" s="8" t="s">
        <v>78</v>
      </c>
      <c r="J21" s="65" t="s">
        <v>204</v>
      </c>
    </row>
    <row r="22" spans="1:10" ht="40" customHeight="1" x14ac:dyDescent="0.35">
      <c r="A22" s="17" t="s">
        <v>79</v>
      </c>
      <c r="B22" s="18" t="s">
        <v>10</v>
      </c>
      <c r="C22" s="19" t="s">
        <v>11</v>
      </c>
      <c r="D22" s="62" t="s">
        <v>195</v>
      </c>
      <c r="E22" s="17" t="s">
        <v>11</v>
      </c>
      <c r="F22" s="17" t="s">
        <v>81</v>
      </c>
      <c r="G22" s="17" t="s">
        <v>14</v>
      </c>
      <c r="H22" s="17" t="s">
        <v>82</v>
      </c>
      <c r="I22" s="17" t="s">
        <v>83</v>
      </c>
      <c r="J22" s="22"/>
    </row>
    <row r="23" spans="1:10" ht="40" customHeight="1" x14ac:dyDescent="0.35">
      <c r="A23" s="20" t="s">
        <v>84</v>
      </c>
      <c r="B23" s="21" t="s">
        <v>18</v>
      </c>
      <c r="C23" s="22" t="s">
        <v>80</v>
      </c>
      <c r="D23" s="22" t="s">
        <v>85</v>
      </c>
      <c r="E23" s="20" t="s">
        <v>20</v>
      </c>
      <c r="F23" s="20" t="s">
        <v>81</v>
      </c>
      <c r="G23" s="20" t="s">
        <v>14</v>
      </c>
      <c r="H23" s="20" t="s">
        <v>21</v>
      </c>
      <c r="I23" s="20" t="s">
        <v>86</v>
      </c>
      <c r="J23" s="22" t="s">
        <v>87</v>
      </c>
    </row>
    <row r="24" spans="1:10" ht="40" customHeight="1" x14ac:dyDescent="0.35">
      <c r="A24" s="20" t="s">
        <v>88</v>
      </c>
      <c r="B24" s="21" t="s">
        <v>18</v>
      </c>
      <c r="C24" s="22" t="s">
        <v>80</v>
      </c>
      <c r="D24" s="22" t="s">
        <v>89</v>
      </c>
      <c r="E24" s="20" t="s">
        <v>20</v>
      </c>
      <c r="F24" s="20" t="s">
        <v>81</v>
      </c>
      <c r="G24" s="20" t="s">
        <v>14</v>
      </c>
      <c r="H24" s="20" t="s">
        <v>90</v>
      </c>
      <c r="I24" s="20" t="s">
        <v>91</v>
      </c>
      <c r="J24" s="22" t="s">
        <v>92</v>
      </c>
    </row>
    <row r="25" spans="1:10" ht="40" customHeight="1" x14ac:dyDescent="0.35">
      <c r="A25" s="20" t="s">
        <v>93</v>
      </c>
      <c r="B25" s="21" t="s">
        <v>18</v>
      </c>
      <c r="C25" s="22" t="s">
        <v>80</v>
      </c>
      <c r="D25" s="22" t="s">
        <v>94</v>
      </c>
      <c r="E25" s="20" t="s">
        <v>20</v>
      </c>
      <c r="F25" s="20" t="s">
        <v>81</v>
      </c>
      <c r="G25" s="20" t="s">
        <v>14</v>
      </c>
      <c r="H25" s="20" t="s">
        <v>21</v>
      </c>
      <c r="I25" s="20" t="s">
        <v>95</v>
      </c>
      <c r="J25" s="22" t="s">
        <v>96</v>
      </c>
    </row>
    <row r="26" spans="1:10" ht="40" customHeight="1" x14ac:dyDescent="0.35">
      <c r="A26" s="20" t="s">
        <v>97</v>
      </c>
      <c r="B26" s="21" t="s">
        <v>18</v>
      </c>
      <c r="C26" s="22" t="s">
        <v>80</v>
      </c>
      <c r="D26" s="22" t="s">
        <v>98</v>
      </c>
      <c r="E26" s="20" t="s">
        <v>29</v>
      </c>
      <c r="F26" s="20" t="s">
        <v>81</v>
      </c>
      <c r="G26" s="20" t="s">
        <v>14</v>
      </c>
      <c r="H26" s="20" t="s">
        <v>26</v>
      </c>
      <c r="I26" s="20" t="s">
        <v>99</v>
      </c>
      <c r="J26" s="22" t="s">
        <v>100</v>
      </c>
    </row>
    <row r="27" spans="1:10" ht="40" customHeight="1" x14ac:dyDescent="0.35">
      <c r="A27" s="8" t="s">
        <v>101</v>
      </c>
      <c r="B27" s="9" t="s">
        <v>38</v>
      </c>
      <c r="C27" s="10" t="s">
        <v>80</v>
      </c>
      <c r="D27" s="10" t="s">
        <v>102</v>
      </c>
      <c r="E27" s="8" t="s">
        <v>20</v>
      </c>
      <c r="F27" s="8" t="s">
        <v>81</v>
      </c>
      <c r="G27" s="8" t="s">
        <v>14</v>
      </c>
      <c r="H27" s="8" t="s">
        <v>40</v>
      </c>
      <c r="I27" s="8" t="s">
        <v>103</v>
      </c>
      <c r="J27" s="65" t="s">
        <v>206</v>
      </c>
    </row>
    <row r="28" spans="1:10" ht="40" customHeight="1" x14ac:dyDescent="0.35">
      <c r="A28" s="8" t="s">
        <v>104</v>
      </c>
      <c r="B28" s="9" t="s">
        <v>38</v>
      </c>
      <c r="C28" s="10" t="s">
        <v>80</v>
      </c>
      <c r="D28" s="10" t="s">
        <v>105</v>
      </c>
      <c r="E28" s="8" t="s">
        <v>70</v>
      </c>
      <c r="F28" s="8" t="s">
        <v>81</v>
      </c>
      <c r="G28" s="8" t="s">
        <v>14</v>
      </c>
      <c r="H28" s="8" t="s">
        <v>40</v>
      </c>
      <c r="I28" s="8" t="s">
        <v>106</v>
      </c>
      <c r="J28" s="65" t="s">
        <v>207</v>
      </c>
    </row>
    <row r="29" spans="1:10" ht="40" customHeight="1" x14ac:dyDescent="0.35">
      <c r="A29" s="23" t="s">
        <v>107</v>
      </c>
      <c r="B29" s="24" t="s">
        <v>10</v>
      </c>
      <c r="C29" s="25" t="s">
        <v>11</v>
      </c>
      <c r="D29" s="63" t="s">
        <v>196</v>
      </c>
      <c r="E29" s="23" t="s">
        <v>11</v>
      </c>
      <c r="F29" s="23" t="s">
        <v>109</v>
      </c>
      <c r="G29" s="23" t="s">
        <v>14</v>
      </c>
      <c r="H29" s="23" t="s">
        <v>110</v>
      </c>
      <c r="I29" s="23" t="s">
        <v>111</v>
      </c>
      <c r="J29" s="25"/>
    </row>
    <row r="30" spans="1:10" ht="40" customHeight="1" x14ac:dyDescent="0.35">
      <c r="A30" s="26" t="s">
        <v>112</v>
      </c>
      <c r="B30" s="27" t="s">
        <v>18</v>
      </c>
      <c r="C30" s="28" t="s">
        <v>108</v>
      </c>
      <c r="D30" s="28" t="s">
        <v>113</v>
      </c>
      <c r="E30" s="26" t="s">
        <v>20</v>
      </c>
      <c r="F30" s="26" t="s">
        <v>81</v>
      </c>
      <c r="G30" s="26" t="s">
        <v>14</v>
      </c>
      <c r="H30" s="26" t="s">
        <v>21</v>
      </c>
      <c r="I30" s="26" t="s">
        <v>95</v>
      </c>
      <c r="J30" s="28" t="s">
        <v>114</v>
      </c>
    </row>
    <row r="31" spans="1:10" ht="40" customHeight="1" x14ac:dyDescent="0.35">
      <c r="A31" s="26" t="s">
        <v>115</v>
      </c>
      <c r="B31" s="27" t="s">
        <v>18</v>
      </c>
      <c r="C31" s="28" t="s">
        <v>108</v>
      </c>
      <c r="D31" s="28" t="s">
        <v>116</v>
      </c>
      <c r="E31" s="26" t="s">
        <v>20</v>
      </c>
      <c r="F31" s="26" t="s">
        <v>81</v>
      </c>
      <c r="G31" s="26" t="s">
        <v>14</v>
      </c>
      <c r="H31" s="26" t="s">
        <v>26</v>
      </c>
      <c r="I31" s="26" t="s">
        <v>99</v>
      </c>
      <c r="J31" s="28" t="s">
        <v>117</v>
      </c>
    </row>
    <row r="32" spans="1:10" ht="40" customHeight="1" x14ac:dyDescent="0.35">
      <c r="A32" s="26" t="s">
        <v>118</v>
      </c>
      <c r="B32" s="27" t="s">
        <v>18</v>
      </c>
      <c r="C32" s="28" t="s">
        <v>108</v>
      </c>
      <c r="D32" s="28" t="s">
        <v>119</v>
      </c>
      <c r="E32" s="26" t="s">
        <v>29</v>
      </c>
      <c r="F32" s="26" t="s">
        <v>81</v>
      </c>
      <c r="G32" s="26" t="s">
        <v>14</v>
      </c>
      <c r="H32" s="26" t="s">
        <v>26</v>
      </c>
      <c r="I32" s="26" t="s">
        <v>120</v>
      </c>
      <c r="J32" s="28" t="s">
        <v>121</v>
      </c>
    </row>
    <row r="33" spans="1:10" ht="40" customHeight="1" x14ac:dyDescent="0.35">
      <c r="A33" s="26" t="s">
        <v>122</v>
      </c>
      <c r="B33" s="27" t="s">
        <v>18</v>
      </c>
      <c r="C33" s="28" t="s">
        <v>108</v>
      </c>
      <c r="D33" s="28" t="s">
        <v>123</v>
      </c>
      <c r="E33" s="26" t="s">
        <v>70</v>
      </c>
      <c r="F33" s="26" t="s">
        <v>81</v>
      </c>
      <c r="G33" s="26" t="s">
        <v>14</v>
      </c>
      <c r="H33" s="26" t="s">
        <v>26</v>
      </c>
      <c r="I33" s="26" t="s">
        <v>106</v>
      </c>
      <c r="J33" s="28" t="s">
        <v>124</v>
      </c>
    </row>
    <row r="34" spans="1:10" ht="40" customHeight="1" x14ac:dyDescent="0.35">
      <c r="A34" s="57" t="s">
        <v>125</v>
      </c>
      <c r="B34" s="57" t="s">
        <v>38</v>
      </c>
      <c r="C34" s="58" t="s">
        <v>108</v>
      </c>
      <c r="D34" s="58" t="s">
        <v>126</v>
      </c>
      <c r="E34" s="57" t="s">
        <v>20</v>
      </c>
      <c r="F34" s="57" t="s">
        <v>13</v>
      </c>
      <c r="G34" s="57" t="s">
        <v>14</v>
      </c>
      <c r="H34" s="57" t="s">
        <v>40</v>
      </c>
      <c r="I34" s="57" t="s">
        <v>127</v>
      </c>
      <c r="J34" s="65" t="s">
        <v>128</v>
      </c>
    </row>
    <row r="35" spans="1:10" ht="40" customHeight="1" x14ac:dyDescent="0.35">
      <c r="A35" s="66" t="s">
        <v>129</v>
      </c>
      <c r="B35" s="9" t="s">
        <v>38</v>
      </c>
      <c r="C35" s="10" t="s">
        <v>108</v>
      </c>
      <c r="D35" s="10" t="s">
        <v>133</v>
      </c>
      <c r="E35" s="8" t="s">
        <v>20</v>
      </c>
      <c r="F35" s="8" t="s">
        <v>81</v>
      </c>
      <c r="G35" s="8" t="s">
        <v>14</v>
      </c>
      <c r="H35" s="8" t="s">
        <v>40</v>
      </c>
      <c r="I35" s="8" t="s">
        <v>134</v>
      </c>
      <c r="J35" s="65" t="s">
        <v>208</v>
      </c>
    </row>
    <row r="36" spans="1:10" ht="39" customHeight="1" x14ac:dyDescent="0.35">
      <c r="A36" s="66" t="s">
        <v>132</v>
      </c>
      <c r="B36" s="9" t="s">
        <v>38</v>
      </c>
      <c r="C36" s="10" t="s">
        <v>108</v>
      </c>
      <c r="D36" s="10" t="s">
        <v>130</v>
      </c>
      <c r="E36" s="8" t="s">
        <v>20</v>
      </c>
      <c r="F36" s="8" t="s">
        <v>81</v>
      </c>
      <c r="G36" s="8" t="s">
        <v>14</v>
      </c>
      <c r="H36" s="8" t="s">
        <v>40</v>
      </c>
      <c r="I36" s="8" t="s">
        <v>131</v>
      </c>
      <c r="J36" s="65" t="s">
        <v>209</v>
      </c>
    </row>
  </sheetData>
  <mergeCells count="2">
    <mergeCell ref="A2:J2"/>
    <mergeCell ref="A1:J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Normal="100" workbookViewId="0">
      <pane ySplit="2" topLeftCell="A3" activePane="bottomLeft" state="frozen"/>
      <selection pane="bottomLeft" activeCell="D11" sqref="D11"/>
    </sheetView>
  </sheetViews>
  <sheetFormatPr defaultRowHeight="14.5" x14ac:dyDescent="0.35"/>
  <cols>
    <col min="1" max="1" width="12" customWidth="1"/>
    <col min="2" max="2" width="24" customWidth="1"/>
    <col min="3" max="3" width="55" customWidth="1"/>
    <col min="4" max="4" width="40" customWidth="1"/>
    <col min="5" max="5" width="28" customWidth="1"/>
    <col min="6" max="6" width="12" customWidth="1"/>
  </cols>
  <sheetData>
    <row r="1" spans="1:6" ht="26" customHeight="1" x14ac:dyDescent="0.35">
      <c r="A1" s="72" t="s">
        <v>135</v>
      </c>
      <c r="B1" s="73"/>
      <c r="C1" s="73"/>
      <c r="D1" s="73"/>
      <c r="E1" s="73"/>
      <c r="F1" s="73"/>
    </row>
    <row r="2" spans="1:6" x14ac:dyDescent="0.35">
      <c r="A2" s="1" t="s">
        <v>6</v>
      </c>
      <c r="B2" s="1" t="s">
        <v>136</v>
      </c>
      <c r="C2" s="1" t="s">
        <v>137</v>
      </c>
      <c r="D2" s="1" t="s">
        <v>138</v>
      </c>
      <c r="E2" s="1" t="s">
        <v>139</v>
      </c>
      <c r="F2" s="1" t="s">
        <v>7</v>
      </c>
    </row>
    <row r="3" spans="1:6" ht="55" customHeight="1" x14ac:dyDescent="0.35">
      <c r="A3" s="29" t="s">
        <v>13</v>
      </c>
      <c r="B3" s="30" t="s">
        <v>140</v>
      </c>
      <c r="C3" s="59" t="s">
        <v>141</v>
      </c>
      <c r="D3" s="59" t="s">
        <v>192</v>
      </c>
      <c r="E3" s="59" t="s">
        <v>142</v>
      </c>
      <c r="F3" s="30" t="s">
        <v>143</v>
      </c>
    </row>
    <row r="4" spans="1:6" ht="55" customHeight="1" x14ac:dyDescent="0.35">
      <c r="A4" s="32" t="s">
        <v>81</v>
      </c>
      <c r="B4" s="33" t="s">
        <v>144</v>
      </c>
      <c r="C4" s="69" t="s">
        <v>145</v>
      </c>
      <c r="D4" s="69" t="s">
        <v>146</v>
      </c>
      <c r="E4" s="69" t="s">
        <v>147</v>
      </c>
      <c r="F4" s="33" t="s">
        <v>148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2" topLeftCell="A3" activePane="bottomLeft" state="frozen"/>
      <selection pane="bottomLeft" activeCell="F7" sqref="A1:F7"/>
    </sheetView>
  </sheetViews>
  <sheetFormatPr defaultRowHeight="14.5" x14ac:dyDescent="0.35"/>
  <cols>
    <col min="1" max="1" width="10" customWidth="1"/>
    <col min="2" max="2" width="34" customWidth="1"/>
    <col min="3" max="3" width="14" customWidth="1"/>
    <col min="4" max="4" width="28" customWidth="1"/>
    <col min="5" max="5" width="30" customWidth="1"/>
    <col min="6" max="6" width="14.7265625" customWidth="1"/>
  </cols>
  <sheetData>
    <row r="1" spans="1:6" ht="26" customHeight="1" x14ac:dyDescent="0.35">
      <c r="A1" s="72" t="s">
        <v>149</v>
      </c>
      <c r="B1" s="73"/>
      <c r="C1" s="73"/>
      <c r="D1" s="73"/>
      <c r="E1" s="73"/>
      <c r="F1" s="73"/>
    </row>
    <row r="2" spans="1:6" x14ac:dyDescent="0.35">
      <c r="A2" s="1" t="s">
        <v>150</v>
      </c>
      <c r="B2" s="1" t="s">
        <v>151</v>
      </c>
      <c r="C2" s="1" t="s">
        <v>6</v>
      </c>
      <c r="D2" s="1" t="s">
        <v>152</v>
      </c>
      <c r="E2" s="1" t="s">
        <v>153</v>
      </c>
      <c r="F2" s="1" t="s">
        <v>154</v>
      </c>
    </row>
    <row r="3" spans="1:6" ht="38" customHeight="1" x14ac:dyDescent="0.35">
      <c r="A3" s="29" t="s">
        <v>9</v>
      </c>
      <c r="B3" s="30" t="s">
        <v>12</v>
      </c>
      <c r="C3" s="30" t="s">
        <v>13</v>
      </c>
      <c r="D3" s="31" t="s">
        <v>155</v>
      </c>
      <c r="E3" s="31" t="s">
        <v>156</v>
      </c>
      <c r="F3" s="30">
        <f>9+7</f>
        <v>16</v>
      </c>
    </row>
    <row r="4" spans="1:6" ht="38" customHeight="1" x14ac:dyDescent="0.35">
      <c r="A4" s="35" t="s">
        <v>53</v>
      </c>
      <c r="B4" s="36" t="s">
        <v>54</v>
      </c>
      <c r="C4" s="36" t="s">
        <v>13</v>
      </c>
      <c r="D4" s="37" t="s">
        <v>157</v>
      </c>
      <c r="E4" s="37" t="s">
        <v>158</v>
      </c>
      <c r="F4" s="36">
        <f>10+5</f>
        <v>15</v>
      </c>
    </row>
    <row r="5" spans="1:6" ht="38" customHeight="1" x14ac:dyDescent="0.35">
      <c r="A5" s="32" t="s">
        <v>79</v>
      </c>
      <c r="B5" s="33" t="s">
        <v>80</v>
      </c>
      <c r="C5" s="33" t="s">
        <v>81</v>
      </c>
      <c r="D5" s="34" t="s">
        <v>159</v>
      </c>
      <c r="E5" s="34" t="s">
        <v>160</v>
      </c>
      <c r="F5" s="33">
        <f>13+2</f>
        <v>15</v>
      </c>
    </row>
    <row r="6" spans="1:6" ht="38" customHeight="1" x14ac:dyDescent="0.35">
      <c r="A6" s="38" t="s">
        <v>107</v>
      </c>
      <c r="B6" s="39" t="s">
        <v>108</v>
      </c>
      <c r="C6" s="39" t="s">
        <v>109</v>
      </c>
      <c r="D6" s="40" t="s">
        <v>161</v>
      </c>
      <c r="E6" s="40" t="s">
        <v>162</v>
      </c>
      <c r="F6" s="39">
        <f>9+3</f>
        <v>12</v>
      </c>
    </row>
    <row r="7" spans="1:6" x14ac:dyDescent="0.35">
      <c r="E7" s="41" t="s">
        <v>163</v>
      </c>
      <c r="F7" s="41">
        <f>SUM(F3:F6)</f>
        <v>58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pane ySplit="2" topLeftCell="A3" activePane="bottomLeft" state="frozen"/>
      <selection pane="bottomLeft" activeCell="F18" sqref="F18"/>
    </sheetView>
  </sheetViews>
  <sheetFormatPr defaultRowHeight="14.5" x14ac:dyDescent="0.35"/>
  <cols>
    <col min="1" max="1" width="4" customWidth="1"/>
    <col min="2" max="2" width="40" customWidth="1"/>
    <col min="3" max="3" width="14" customWidth="1"/>
    <col min="4" max="4" width="12" customWidth="1"/>
    <col min="5" max="6" width="10" customWidth="1"/>
    <col min="7" max="7" width="50" customWidth="1"/>
    <col min="8" max="8" width="21.90625" customWidth="1"/>
  </cols>
  <sheetData>
    <row r="1" spans="1:8" ht="26" customHeight="1" x14ac:dyDescent="0.35">
      <c r="A1" s="72" t="s">
        <v>164</v>
      </c>
      <c r="B1" s="73"/>
      <c r="C1" s="73"/>
      <c r="D1" s="73"/>
      <c r="E1" s="73"/>
      <c r="F1" s="73"/>
      <c r="G1" s="73"/>
      <c r="H1" s="73"/>
    </row>
    <row r="2" spans="1:8" x14ac:dyDescent="0.35">
      <c r="A2" s="1" t="s">
        <v>165</v>
      </c>
      <c r="B2" s="1" t="s">
        <v>166</v>
      </c>
      <c r="C2" s="1" t="s">
        <v>2</v>
      </c>
      <c r="D2" s="1" t="s">
        <v>167</v>
      </c>
      <c r="E2" s="1" t="s">
        <v>168</v>
      </c>
      <c r="F2" s="1" t="s">
        <v>5</v>
      </c>
      <c r="G2" s="1" t="s">
        <v>169</v>
      </c>
      <c r="H2" s="1" t="s">
        <v>7</v>
      </c>
    </row>
    <row r="3" spans="1:8" ht="40" customHeight="1" x14ac:dyDescent="0.35">
      <c r="A3" s="42" t="s">
        <v>170</v>
      </c>
      <c r="B3" s="43" t="s">
        <v>171</v>
      </c>
      <c r="C3" s="44" t="s">
        <v>172</v>
      </c>
      <c r="D3" s="44" t="s">
        <v>70</v>
      </c>
      <c r="E3" s="44" t="s">
        <v>20</v>
      </c>
      <c r="F3" s="44" t="s">
        <v>173</v>
      </c>
      <c r="G3" s="43" t="s">
        <v>174</v>
      </c>
      <c r="H3" s="44" t="s">
        <v>175</v>
      </c>
    </row>
    <row r="4" spans="1:8" ht="40" customHeight="1" x14ac:dyDescent="0.35">
      <c r="A4" s="45" t="s">
        <v>176</v>
      </c>
      <c r="B4" s="46" t="s">
        <v>177</v>
      </c>
      <c r="C4" s="47" t="s">
        <v>178</v>
      </c>
      <c r="D4" s="47" t="s">
        <v>70</v>
      </c>
      <c r="E4" s="47" t="s">
        <v>20</v>
      </c>
      <c r="F4" s="47" t="s">
        <v>173</v>
      </c>
      <c r="G4" s="46" t="s">
        <v>179</v>
      </c>
      <c r="H4" s="47" t="s">
        <v>175</v>
      </c>
    </row>
    <row r="5" spans="1:8" ht="40" customHeight="1" x14ac:dyDescent="0.35">
      <c r="A5" s="48" t="s">
        <v>180</v>
      </c>
      <c r="B5" s="49" t="s">
        <v>181</v>
      </c>
      <c r="C5" s="50" t="s">
        <v>172</v>
      </c>
      <c r="D5" s="50" t="s">
        <v>212</v>
      </c>
      <c r="E5" s="50" t="s">
        <v>29</v>
      </c>
      <c r="F5" s="50" t="s">
        <v>29</v>
      </c>
      <c r="G5" s="49" t="s">
        <v>182</v>
      </c>
      <c r="H5" s="50" t="s">
        <v>175</v>
      </c>
    </row>
    <row r="6" spans="1:8" ht="40" customHeight="1" x14ac:dyDescent="0.35">
      <c r="A6" s="51" t="s">
        <v>183</v>
      </c>
      <c r="B6" s="52" t="s">
        <v>184</v>
      </c>
      <c r="C6" s="53" t="s">
        <v>172</v>
      </c>
      <c r="D6" s="53" t="s">
        <v>212</v>
      </c>
      <c r="E6" s="53" t="s">
        <v>29</v>
      </c>
      <c r="F6" s="53" t="s">
        <v>29</v>
      </c>
      <c r="G6" s="52" t="s">
        <v>185</v>
      </c>
      <c r="H6" s="53" t="s">
        <v>175</v>
      </c>
    </row>
    <row r="7" spans="1:8" ht="40" customHeight="1" x14ac:dyDescent="0.35">
      <c r="A7" s="54" t="s">
        <v>186</v>
      </c>
      <c r="B7" s="55" t="s">
        <v>187</v>
      </c>
      <c r="C7" s="56" t="s">
        <v>188</v>
      </c>
      <c r="D7" s="56" t="s">
        <v>212</v>
      </c>
      <c r="E7" s="56" t="s">
        <v>20</v>
      </c>
      <c r="F7" s="56" t="s">
        <v>20</v>
      </c>
      <c r="G7" s="55" t="s">
        <v>189</v>
      </c>
      <c r="H7" s="56" t="s">
        <v>175</v>
      </c>
    </row>
    <row r="8" spans="1:8" ht="20" customHeight="1" x14ac:dyDescent="0.35">
      <c r="A8" s="74" t="s">
        <v>190</v>
      </c>
      <c r="B8" s="73"/>
      <c r="C8" s="73"/>
      <c r="D8" s="73"/>
      <c r="E8" s="73"/>
      <c r="F8" s="73"/>
      <c r="G8" s="73"/>
      <c r="H8" s="73"/>
    </row>
    <row r="9" spans="1:8" ht="20" customHeight="1" x14ac:dyDescent="0.35">
      <c r="A9" s="74" t="s">
        <v>191</v>
      </c>
      <c r="B9" s="73"/>
      <c r="C9" s="73"/>
      <c r="D9" s="73"/>
      <c r="E9" s="73"/>
      <c r="F9" s="73"/>
      <c r="G9" s="73"/>
      <c r="H9" s="73"/>
    </row>
  </sheetData>
  <mergeCells count="3">
    <mergeCell ref="A9:H9"/>
    <mergeCell ref="A8:H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Plan</vt:lpstr>
      <vt:lpstr>Epic Summary</vt:lpstr>
      <vt:lpstr>Risk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NUMAIR ALSALEH</cp:lastModifiedBy>
  <dcterms:created xsi:type="dcterms:W3CDTF">2026-04-01T21:46:32Z</dcterms:created>
  <dcterms:modified xsi:type="dcterms:W3CDTF">2026-04-21T10:55:08Z</dcterms:modified>
</cp:coreProperties>
</file>